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nsubria365-my.sharepoint.com/personal/epontivi_studenti_uninsubria_it/Documents/Desktop/SCUOLA/5afm/"/>
    </mc:Choice>
  </mc:AlternateContent>
  <xr:revisionPtr revIDLastSave="0" documentId="8_{291691BF-536D-458C-B1BE-E71589C576AC}" xr6:coauthVersionLast="47" xr6:coauthVersionMax="47" xr10:uidLastSave="{00000000-0000-0000-0000-000000000000}"/>
  <bookViews>
    <workbookView xWindow="-108" yWindow="-108" windowWidth="23256" windowHeight="12456" activeTab="1" xr2:uid="{753BB5A0-512C-4589-849E-01D84223C24D}"/>
  </bookViews>
  <sheets>
    <sheet name="SP" sheetId="1" r:id="rId1"/>
    <sheet name="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0" i="2"/>
  <c r="B6" i="2"/>
  <c r="B3" i="2"/>
  <c r="B22" i="2" s="1"/>
  <c r="H29" i="1"/>
  <c r="D29" i="1"/>
  <c r="H28" i="1"/>
  <c r="D28" i="1"/>
  <c r="H27" i="1"/>
  <c r="C27" i="1"/>
  <c r="C26" i="1" s="1"/>
  <c r="D26" i="1" s="1"/>
  <c r="H26" i="1"/>
  <c r="B26" i="1"/>
  <c r="H25" i="1"/>
  <c r="D25" i="1"/>
  <c r="H24" i="1"/>
  <c r="D24" i="1"/>
  <c r="H23" i="1"/>
  <c r="D23" i="1"/>
  <c r="G22" i="1"/>
  <c r="G15" i="1" s="1"/>
  <c r="H15" i="1" s="1"/>
  <c r="F22" i="1"/>
  <c r="C22" i="1"/>
  <c r="C21" i="1" s="1"/>
  <c r="B22" i="1"/>
  <c r="D22" i="1" s="1"/>
  <c r="H21" i="1"/>
  <c r="H20" i="1"/>
  <c r="D20" i="1"/>
  <c r="H19" i="1"/>
  <c r="D19" i="1"/>
  <c r="H18" i="1"/>
  <c r="C18" i="1"/>
  <c r="C17" i="1" s="1"/>
  <c r="B18" i="1"/>
  <c r="H17" i="1"/>
  <c r="H16" i="1"/>
  <c r="D16" i="1"/>
  <c r="F15" i="1"/>
  <c r="C15" i="1"/>
  <c r="D15" i="1" s="1"/>
  <c r="G14" i="1"/>
  <c r="G12" i="1" s="1"/>
  <c r="H12" i="1" s="1"/>
  <c r="D14" i="1"/>
  <c r="H13" i="1"/>
  <c r="D13" i="1"/>
  <c r="B13" i="1"/>
  <c r="F12" i="1"/>
  <c r="C12" i="1"/>
  <c r="D12" i="1" s="1"/>
  <c r="H11" i="1"/>
  <c r="C11" i="1"/>
  <c r="B11" i="1"/>
  <c r="D11" i="1" s="1"/>
  <c r="H10" i="1"/>
  <c r="D10" i="1"/>
  <c r="H9" i="1"/>
  <c r="D9" i="1"/>
  <c r="H8" i="1"/>
  <c r="C8" i="1"/>
  <c r="D8" i="1" s="1"/>
  <c r="H7" i="1"/>
  <c r="C7" i="1"/>
  <c r="B7" i="1"/>
  <c r="D7" i="1" s="1"/>
  <c r="H6" i="1"/>
  <c r="C6" i="1"/>
  <c r="B6" i="1"/>
  <c r="D6" i="1" s="1"/>
  <c r="H5" i="1"/>
  <c r="G4" i="1"/>
  <c r="G3" i="1" s="1"/>
  <c r="F3" i="1"/>
  <c r="F30" i="1" s="1"/>
  <c r="C3" i="1"/>
  <c r="B3" i="1"/>
  <c r="B26" i="2" l="1"/>
  <c r="B25" i="2"/>
  <c r="G30" i="1"/>
  <c r="H30" i="1" s="1"/>
  <c r="H3" i="1"/>
  <c r="B17" i="1"/>
  <c r="D17" i="1" s="1"/>
  <c r="B30" i="1"/>
  <c r="D30" i="1" s="1"/>
  <c r="C30" i="1"/>
  <c r="H22" i="1"/>
  <c r="B21" i="1"/>
  <c r="D21" i="1" s="1"/>
  <c r="H4" i="1"/>
  <c r="D27" i="1"/>
  <c r="H14" i="1"/>
  <c r="D18" i="1"/>
</calcChain>
</file>

<file path=xl/sharedStrings.xml><?xml version="1.0" encoding="utf-8"?>
<sst xmlns="http://schemas.openxmlformats.org/spreadsheetml/2006/main" count="81" uniqueCount="74">
  <si>
    <t>STATO PATRIMONIALE CIVILISTICO</t>
  </si>
  <si>
    <t>Attivo - Stato patrimoniale ex art. 2424</t>
  </si>
  <si>
    <t>VARIAZIONE</t>
  </si>
  <si>
    <t>Passivo - Stato patrimoniale ex art. 2424</t>
  </si>
  <si>
    <t>A) CREDITI VERSO SOCI PER VERSAMENTI ANCORA DOVUTI</t>
  </si>
  <si>
    <t xml:space="preserve">A) PATRIMONIO NETTO </t>
  </si>
  <si>
    <t xml:space="preserve">richiamati </t>
  </si>
  <si>
    <t xml:space="preserve">I – Capitale </t>
  </si>
  <si>
    <t>da richiamare</t>
  </si>
  <si>
    <t xml:space="preserve">II – Riserva da sopraprezzo delle azioni </t>
  </si>
  <si>
    <t xml:space="preserve">B) IMMOBILIZZAZIONI </t>
  </si>
  <si>
    <t>III - Riserva di rivalutazione</t>
  </si>
  <si>
    <t>I- Immobilizzazioni immateriali</t>
  </si>
  <si>
    <t xml:space="preserve">IV - Riserva legale </t>
  </si>
  <si>
    <t>1) costi di impianto e di ampliamento</t>
  </si>
  <si>
    <t xml:space="preserve">VIII - Utili (perdite) portati a nuovo </t>
  </si>
  <si>
    <t>2) costi di sviluppo</t>
  </si>
  <si>
    <t xml:space="preserve">IX - Utile (perdita) dell’esercizio </t>
  </si>
  <si>
    <t xml:space="preserve">4) concessioni, licenze, marchi e diritti simili </t>
  </si>
  <si>
    <t>II - Immobilizzazioni materiali</t>
  </si>
  <si>
    <t xml:space="preserve">B) FONDI PER RISCHI E ONERI </t>
  </si>
  <si>
    <t>1) terreni e fabbricati</t>
  </si>
  <si>
    <t>C) TRATTAMENTO DI FINE RAPPORTO DI LAVORO SUBORDINATO</t>
  </si>
  <si>
    <t>2) impianti e macchinario</t>
  </si>
  <si>
    <t xml:space="preserve">entro 12 mesi </t>
  </si>
  <si>
    <t>3) attrezzature industriali e commerciali</t>
  </si>
  <si>
    <t>oltre 12 mesi</t>
  </si>
  <si>
    <t>4) altri beni</t>
  </si>
  <si>
    <t xml:space="preserve">D) DEBITI </t>
  </si>
  <si>
    <t>III - Immobilizzazioni finanziarie</t>
  </si>
  <si>
    <t>4) debiti verso banche</t>
  </si>
  <si>
    <t>C) ATTIVO CIRCOLANTE</t>
  </si>
  <si>
    <t>I - Rimanenze</t>
  </si>
  <si>
    <t xml:space="preserve">1) materie prime, sussidiarie e di consumo </t>
  </si>
  <si>
    <t>7) debiti verso fornitori</t>
  </si>
  <si>
    <t xml:space="preserve">2) prodotti in corso di lavorazione e semilavorati </t>
  </si>
  <si>
    <t>II – Crediti</t>
  </si>
  <si>
    <t>1) verso clienti</t>
  </si>
  <si>
    <t>12) debiti tributari</t>
  </si>
  <si>
    <t xml:space="preserve">Entro 12 mesi </t>
  </si>
  <si>
    <t xml:space="preserve">oltre 12 mesi </t>
  </si>
  <si>
    <t xml:space="preserve">III - Attività finanziarie che non costituiscono immobilizzazioni </t>
  </si>
  <si>
    <t>E) RATEI E RISCONTI</t>
  </si>
  <si>
    <t>IV - Disponibilità liquide</t>
  </si>
  <si>
    <t xml:space="preserve">1) depositi bancari e postali </t>
  </si>
  <si>
    <t xml:space="preserve">D) RATEI E RISCONTI </t>
  </si>
  <si>
    <t>TOTALE ATTIVITA'</t>
  </si>
  <si>
    <t>TOTALE PASSIVITA'</t>
  </si>
  <si>
    <t xml:space="preserve">CONTO ECONOMICO CIVILISTICO </t>
  </si>
  <si>
    <t>Importo in unità di €</t>
  </si>
  <si>
    <t>A) Valore della produzione</t>
  </si>
  <si>
    <t xml:space="preserve">1) ricavi delle vendite e delle prestazioni </t>
  </si>
  <si>
    <t xml:space="preserve">2) variazioni delle rimanenze di prodotti in corso di lavorazione, semilavorati e finiti </t>
  </si>
  <si>
    <t>B) Costi della produzione</t>
  </si>
  <si>
    <t xml:space="preserve">6) per materie prime, sussidiari, di consumo e merci </t>
  </si>
  <si>
    <t xml:space="preserve">7) per servizi </t>
  </si>
  <si>
    <t xml:space="preserve">8) per godimento di beni di terzi </t>
  </si>
  <si>
    <t>9) per il personale</t>
  </si>
  <si>
    <t xml:space="preserve">a) salari e stipendi </t>
  </si>
  <si>
    <t xml:space="preserve">b) oneri sociali </t>
  </si>
  <si>
    <t xml:space="preserve">c) trattamento di fine rapporto </t>
  </si>
  <si>
    <t xml:space="preserve">d) trattamento di quiescenza e simili </t>
  </si>
  <si>
    <t xml:space="preserve">e) altri costi </t>
  </si>
  <si>
    <t>10) ammortamenti e svalutazioni</t>
  </si>
  <si>
    <t>a) ammortamento delle immobilizzazioni immateriali</t>
  </si>
  <si>
    <t xml:space="preserve">b) ammortamento delle immobilizzazioni materiali </t>
  </si>
  <si>
    <t xml:space="preserve">c) altre svalutazioni delle immobilizzazioni </t>
  </si>
  <si>
    <t>d) svalutazioni dei crediti compresi nell’attivo circolante e delle disponibilità liquide</t>
  </si>
  <si>
    <t xml:space="preserve">11) variazioni delle rimanenze di materie prime, sussidiarie, di consumo e merci </t>
  </si>
  <si>
    <t>Differenza tra valore e costi della produzione (A - B)</t>
  </si>
  <si>
    <t>C) Proventi e oneri finanziari</t>
  </si>
  <si>
    <t>D) Rettifiche di valore di attività finanziarie</t>
  </si>
  <si>
    <t>Risultato prima delle imposte ( A - B +- C +- D)</t>
  </si>
  <si>
    <t>23) utile (perdita) dell’esercizio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</si>
</sst>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&quot;€&quot;_-;\-* #,##0\ &quot;€&quot;_-;_-* &quot;-&quot;??\ &quot;€&quot;_-;_-@_-"/>
    <numFmt numFmtId="165" formatCode="&quot;€&quot;\ #,##0"/>
  </numFmts>
  <fonts count="6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vertical="center" wrapText="1"/>
    </xf>
    <xf numFmtId="164" fontId="4" fillId="3" borderId="4" xfId="0" applyNumberFormat="1" applyFont="1" applyFill="1" applyBorder="1"/>
    <xf numFmtId="164" fontId="4" fillId="3" borderId="6" xfId="0" applyNumberFormat="1" applyFont="1" applyFill="1" applyBorder="1"/>
    <xf numFmtId="164" fontId="4" fillId="4" borderId="4" xfId="0" applyNumberFormat="1" applyFont="1" applyFill="1" applyBorder="1"/>
    <xf numFmtId="164" fontId="4" fillId="3" borderId="7" xfId="0" applyNumberFormat="1" applyFont="1" applyFill="1" applyBorder="1" applyAlignment="1">
      <alignment horizontal="left"/>
    </xf>
    <xf numFmtId="164" fontId="4" fillId="3" borderId="5" xfId="0" applyNumberFormat="1" applyFont="1" applyFill="1" applyBorder="1"/>
    <xf numFmtId="164" fontId="5" fillId="0" borderId="8" xfId="0" applyNumberFormat="1" applyFont="1" applyBorder="1" applyAlignment="1">
      <alignment vertical="center" wrapText="1"/>
    </xf>
    <xf numFmtId="164" fontId="0" fillId="0" borderId="9" xfId="0" applyNumberFormat="1" applyBorder="1"/>
    <xf numFmtId="164" fontId="0" fillId="0" borderId="10" xfId="0" applyNumberFormat="1" applyBorder="1"/>
    <xf numFmtId="164" fontId="0" fillId="4" borderId="4" xfId="0" applyNumberFormat="1" applyFill="1" applyBorder="1"/>
    <xf numFmtId="164" fontId="0" fillId="0" borderId="0" xfId="0" applyNumberFormat="1"/>
    <xf numFmtId="164" fontId="0" fillId="0" borderId="11" xfId="0" applyNumberFormat="1" applyBorder="1"/>
    <xf numFmtId="164" fontId="2" fillId="5" borderId="3" xfId="0" applyNumberFormat="1" applyFont="1" applyFill="1" applyBorder="1" applyAlignment="1">
      <alignment horizontal="left" vertical="center" wrapText="1"/>
    </xf>
    <xf numFmtId="164" fontId="2" fillId="5" borderId="4" xfId="0" applyNumberFormat="1" applyFont="1" applyFill="1" applyBorder="1"/>
    <xf numFmtId="164" fontId="2" fillId="5" borderId="6" xfId="0" applyNumberFormat="1" applyFont="1" applyFill="1" applyBorder="1"/>
    <xf numFmtId="164" fontId="0" fillId="0" borderId="8" xfId="0" applyNumberFormat="1" applyBorder="1" applyAlignment="1">
      <alignment vertical="center" wrapText="1"/>
    </xf>
    <xf numFmtId="164" fontId="2" fillId="5" borderId="3" xfId="0" applyNumberFormat="1" applyFont="1" applyFill="1" applyBorder="1" applyAlignment="1">
      <alignment vertical="center" wrapText="1"/>
    </xf>
    <xf numFmtId="164" fontId="4" fillId="3" borderId="7" xfId="0" applyNumberFormat="1" applyFont="1" applyFill="1" applyBorder="1"/>
    <xf numFmtId="164" fontId="5" fillId="0" borderId="10" xfId="0" applyNumberFormat="1" applyFont="1" applyBorder="1"/>
    <xf numFmtId="164" fontId="0" fillId="3" borderId="5" xfId="0" applyNumberFormat="1" applyFill="1" applyBorder="1"/>
    <xf numFmtId="164" fontId="0" fillId="3" borderId="6" xfId="0" applyNumberFormat="1" applyFill="1" applyBorder="1"/>
    <xf numFmtId="164" fontId="0" fillId="5" borderId="4" xfId="0" applyNumberFormat="1" applyFill="1" applyBorder="1"/>
    <xf numFmtId="164" fontId="0" fillId="5" borderId="6" xfId="0" applyNumberFormat="1" applyFill="1" applyBorder="1"/>
    <xf numFmtId="164" fontId="4" fillId="3" borderId="12" xfId="0" applyNumberFormat="1" applyFont="1" applyFill="1" applyBorder="1"/>
    <xf numFmtId="164" fontId="4" fillId="3" borderId="13" xfId="0" applyNumberFormat="1" applyFont="1" applyFill="1" applyBorder="1"/>
    <xf numFmtId="164" fontId="4" fillId="0" borderId="0" xfId="0" applyNumberFormat="1" applyFont="1"/>
    <xf numFmtId="164" fontId="4" fillId="6" borderId="14" xfId="0" applyNumberFormat="1" applyFont="1" applyFill="1" applyBorder="1" applyAlignment="1">
      <alignment vertical="center" wrapText="1"/>
    </xf>
    <xf numFmtId="164" fontId="4" fillId="6" borderId="15" xfId="0" applyNumberFormat="1" applyFont="1" applyFill="1" applyBorder="1"/>
    <xf numFmtId="164" fontId="4" fillId="6" borderId="16" xfId="0" applyNumberFormat="1" applyFont="1" applyFill="1" applyBorder="1"/>
    <xf numFmtId="164" fontId="4" fillId="6" borderId="17" xfId="0" applyNumberFormat="1" applyFont="1" applyFill="1" applyBorder="1"/>
    <xf numFmtId="164" fontId="4" fillId="6" borderId="18" xfId="0" applyNumberFormat="1" applyFont="1" applyFill="1" applyBorder="1"/>
    <xf numFmtId="0" fontId="1" fillId="7" borderId="19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0" borderId="21" xfId="0" applyFont="1" applyBorder="1"/>
    <xf numFmtId="0" fontId="2" fillId="0" borderId="5" xfId="0" applyFont="1" applyBorder="1" applyAlignment="1">
      <alignment horizontal="right"/>
    </xf>
    <xf numFmtId="0" fontId="4" fillId="3" borderId="3" xfId="0" applyFont="1" applyFill="1" applyBorder="1"/>
    <xf numFmtId="165" fontId="4" fillId="3" borderId="5" xfId="0" applyNumberFormat="1" applyFont="1" applyFill="1" applyBorder="1"/>
    <xf numFmtId="0" fontId="0" fillId="0" borderId="8" xfId="0" applyBorder="1"/>
    <xf numFmtId="165" fontId="0" fillId="0" borderId="11" xfId="0" applyNumberFormat="1" applyBorder="1"/>
    <xf numFmtId="0" fontId="4" fillId="5" borderId="3" xfId="0" applyFont="1" applyFill="1" applyBorder="1"/>
    <xf numFmtId="165" fontId="4" fillId="5" borderId="5" xfId="0" applyNumberFormat="1" applyFont="1" applyFill="1" applyBorder="1"/>
    <xf numFmtId="0" fontId="4" fillId="6" borderId="14" xfId="0" applyFont="1" applyFill="1" applyBorder="1"/>
    <xf numFmtId="165" fontId="4" fillId="6" borderId="18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27E1-E9E1-4F0D-881E-4A3BAB7E99BE}">
  <dimension ref="A1:H30"/>
  <sheetViews>
    <sheetView zoomScale="90" zoomScaleNormal="90" workbookViewId="0">
      <selection activeCell="A3" sqref="A3:XFD3"/>
    </sheetView>
  </sheetViews>
  <sheetFormatPr defaultColWidth="41" defaultRowHeight="16.8" customHeight="1" x14ac:dyDescent="0.3"/>
  <cols>
    <col min="2" max="2" width="18" customWidth="1"/>
    <col min="3" max="3" width="18.21875" customWidth="1"/>
    <col min="4" max="4" width="20.88671875" customWidth="1"/>
    <col min="5" max="5" width="36" customWidth="1"/>
    <col min="6" max="6" width="24.21875" customWidth="1"/>
    <col min="7" max="7" width="28" customWidth="1"/>
    <col min="8" max="8" width="18.88671875" customWidth="1"/>
  </cols>
  <sheetData>
    <row r="1" spans="1:8" ht="16.8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6.8" customHeight="1" x14ac:dyDescent="0.3">
      <c r="A2" s="3" t="s">
        <v>1</v>
      </c>
      <c r="B2" s="4">
        <v>2021</v>
      </c>
      <c r="C2" s="4">
        <v>2022</v>
      </c>
      <c r="D2" s="4" t="s">
        <v>2</v>
      </c>
      <c r="E2" s="5" t="s">
        <v>3</v>
      </c>
      <c r="F2" s="6">
        <v>2021</v>
      </c>
      <c r="G2" s="6">
        <v>2022</v>
      </c>
      <c r="H2" s="4" t="s">
        <v>2</v>
      </c>
    </row>
    <row r="3" spans="1:8" ht="30" customHeight="1" x14ac:dyDescent="0.3">
      <c r="A3" s="7" t="s">
        <v>4</v>
      </c>
      <c r="B3" s="8">
        <f>B4+B5</f>
        <v>0</v>
      </c>
      <c r="C3" s="9">
        <f>C4+C5</f>
        <v>0</v>
      </c>
      <c r="D3" s="10"/>
      <c r="E3" s="11" t="s">
        <v>5</v>
      </c>
      <c r="F3" s="12">
        <f>SUM(F4:F9)</f>
        <v>1250000</v>
      </c>
      <c r="G3" s="9">
        <f>SUM(G4:G9)</f>
        <v>2389357</v>
      </c>
      <c r="H3" s="10">
        <f>+G3-F3</f>
        <v>1139357</v>
      </c>
    </row>
    <row r="4" spans="1:8" ht="16.8" customHeight="1" x14ac:dyDescent="0.3">
      <c r="A4" s="13" t="s">
        <v>6</v>
      </c>
      <c r="B4" s="14">
        <v>0</v>
      </c>
      <c r="C4" s="15">
        <v>0</v>
      </c>
      <c r="D4" s="16"/>
      <c r="E4" s="17" t="s">
        <v>7</v>
      </c>
      <c r="F4" s="18">
        <v>1000000</v>
      </c>
      <c r="G4" s="15">
        <f>200000+1000000</f>
        <v>1200000</v>
      </c>
      <c r="H4" s="10">
        <f t="shared" ref="H4:H30" si="0">+G4-F4</f>
        <v>200000</v>
      </c>
    </row>
    <row r="5" spans="1:8" ht="16.8" customHeight="1" x14ac:dyDescent="0.3">
      <c r="A5" s="13" t="s">
        <v>8</v>
      </c>
      <c r="B5" s="14">
        <v>0</v>
      </c>
      <c r="C5" s="15">
        <v>0</v>
      </c>
      <c r="D5" s="16"/>
      <c r="E5" s="17" t="s">
        <v>9</v>
      </c>
      <c r="F5" s="18">
        <v>0</v>
      </c>
      <c r="G5" s="15">
        <v>40000</v>
      </c>
      <c r="H5" s="10">
        <f t="shared" si="0"/>
        <v>40000</v>
      </c>
    </row>
    <row r="6" spans="1:8" ht="16.8" customHeight="1" x14ac:dyDescent="0.3">
      <c r="A6" s="7" t="s">
        <v>10</v>
      </c>
      <c r="B6" s="8">
        <f>B7+B11+B16</f>
        <v>1025000</v>
      </c>
      <c r="C6" s="9">
        <f>C7+C11+C16</f>
        <v>952713.54</v>
      </c>
      <c r="D6" s="10">
        <f>+B6-C6</f>
        <v>72286.459999999963</v>
      </c>
      <c r="E6" s="17" t="s">
        <v>11</v>
      </c>
      <c r="F6" s="18">
        <v>0</v>
      </c>
      <c r="G6" s="15">
        <v>0</v>
      </c>
      <c r="H6" s="10">
        <f t="shared" si="0"/>
        <v>0</v>
      </c>
    </row>
    <row r="7" spans="1:8" ht="16.8" customHeight="1" x14ac:dyDescent="0.3">
      <c r="A7" s="19" t="s">
        <v>12</v>
      </c>
      <c r="B7" s="20">
        <f>+B8+B9+B10</f>
        <v>0</v>
      </c>
      <c r="C7" s="21">
        <f>+C8+C9+C10</f>
        <v>5526.04</v>
      </c>
      <c r="D7" s="10">
        <f t="shared" ref="D7:D30" si="1">+B7-C7</f>
        <v>-5526.04</v>
      </c>
      <c r="E7" s="17" t="s">
        <v>13</v>
      </c>
      <c r="F7" s="18">
        <v>200000</v>
      </c>
      <c r="G7" s="15">
        <v>200000</v>
      </c>
      <c r="H7" s="10">
        <f t="shared" si="0"/>
        <v>0</v>
      </c>
    </row>
    <row r="8" spans="1:8" ht="16.8" customHeight="1" x14ac:dyDescent="0.3">
      <c r="A8" s="22" t="s">
        <v>14</v>
      </c>
      <c r="B8" s="14">
        <v>0</v>
      </c>
      <c r="C8" s="15">
        <f>1500-140.63</f>
        <v>1359.37</v>
      </c>
      <c r="D8" s="10">
        <f t="shared" si="1"/>
        <v>-1359.37</v>
      </c>
      <c r="E8" s="17" t="s">
        <v>15</v>
      </c>
      <c r="F8" s="18">
        <v>0</v>
      </c>
      <c r="G8" s="15">
        <v>50000</v>
      </c>
      <c r="H8" s="10">
        <f t="shared" si="0"/>
        <v>50000</v>
      </c>
    </row>
    <row r="9" spans="1:8" ht="16.8" customHeight="1" x14ac:dyDescent="0.3">
      <c r="A9" s="13" t="s">
        <v>16</v>
      </c>
      <c r="B9" s="14">
        <v>0</v>
      </c>
      <c r="C9" s="15">
        <v>0</v>
      </c>
      <c r="D9" s="10">
        <f t="shared" si="1"/>
        <v>0</v>
      </c>
      <c r="E9" s="17" t="s">
        <v>17</v>
      </c>
      <c r="F9" s="18">
        <v>50000</v>
      </c>
      <c r="G9" s="15">
        <v>899357</v>
      </c>
      <c r="H9" s="10">
        <f t="shared" si="0"/>
        <v>849357</v>
      </c>
    </row>
    <row r="10" spans="1:8" ht="16.8" customHeight="1" x14ac:dyDescent="0.3">
      <c r="A10" s="22" t="s">
        <v>18</v>
      </c>
      <c r="B10" s="14">
        <v>0</v>
      </c>
      <c r="C10" s="15">
        <v>4166.67</v>
      </c>
      <c r="D10" s="10">
        <f t="shared" si="1"/>
        <v>-4166.67</v>
      </c>
      <c r="E10" s="17"/>
      <c r="F10" s="18"/>
      <c r="G10" s="15"/>
      <c r="H10" s="10">
        <f t="shared" si="0"/>
        <v>0</v>
      </c>
    </row>
    <row r="11" spans="1:8" ht="16.8" customHeight="1" x14ac:dyDescent="0.3">
      <c r="A11" s="23" t="s">
        <v>19</v>
      </c>
      <c r="B11" s="20">
        <f>SUM(B12:B15)</f>
        <v>1025000</v>
      </c>
      <c r="C11" s="21">
        <f>SUM(C12:C15)</f>
        <v>947187.5</v>
      </c>
      <c r="D11" s="10">
        <f t="shared" si="1"/>
        <v>77812.5</v>
      </c>
      <c r="E11" s="24" t="s">
        <v>20</v>
      </c>
      <c r="F11" s="12">
        <v>0</v>
      </c>
      <c r="G11" s="9">
        <v>0</v>
      </c>
      <c r="H11" s="10">
        <f t="shared" si="0"/>
        <v>0</v>
      </c>
    </row>
    <row r="12" spans="1:8" ht="16.8" customHeight="1" x14ac:dyDescent="0.3">
      <c r="A12" s="22" t="s">
        <v>21</v>
      </c>
      <c r="B12" s="14">
        <v>600000</v>
      </c>
      <c r="C12" s="25">
        <f>+B12-40000</f>
        <v>560000</v>
      </c>
      <c r="D12" s="10">
        <f t="shared" si="1"/>
        <v>40000</v>
      </c>
      <c r="E12" s="24" t="s">
        <v>22</v>
      </c>
      <c r="F12" s="12">
        <f>F13+F14</f>
        <v>250000</v>
      </c>
      <c r="G12" s="9">
        <f>G13+G14</f>
        <v>296462.73</v>
      </c>
      <c r="H12" s="10">
        <f t="shared" si="0"/>
        <v>46462.729999999981</v>
      </c>
    </row>
    <row r="13" spans="1:8" ht="16.8" customHeight="1" x14ac:dyDescent="0.3">
      <c r="A13" s="22" t="s">
        <v>23</v>
      </c>
      <c r="B13" s="14">
        <f>25000+360000</f>
        <v>385000</v>
      </c>
      <c r="C13" s="15">
        <v>340000</v>
      </c>
      <c r="D13" s="10">
        <f t="shared" si="1"/>
        <v>45000</v>
      </c>
      <c r="E13" s="17" t="s">
        <v>24</v>
      </c>
      <c r="F13" s="18">
        <v>0</v>
      </c>
      <c r="G13" s="15">
        <v>0</v>
      </c>
      <c r="H13" s="10">
        <f t="shared" si="0"/>
        <v>0</v>
      </c>
    </row>
    <row r="14" spans="1:8" ht="16.8" customHeight="1" x14ac:dyDescent="0.3">
      <c r="A14" s="22" t="s">
        <v>25</v>
      </c>
      <c r="B14" s="14">
        <v>40000</v>
      </c>
      <c r="C14" s="15">
        <v>20000</v>
      </c>
      <c r="D14" s="10">
        <f t="shared" si="1"/>
        <v>20000</v>
      </c>
      <c r="E14" s="17" t="s">
        <v>26</v>
      </c>
      <c r="F14" s="18">
        <v>250000</v>
      </c>
      <c r="G14" s="15">
        <f>+F14+46462.73</f>
        <v>296462.73</v>
      </c>
      <c r="H14" s="10">
        <f t="shared" si="0"/>
        <v>46462.729999999981</v>
      </c>
    </row>
    <row r="15" spans="1:8" ht="16.8" customHeight="1" x14ac:dyDescent="0.3">
      <c r="A15" s="22" t="s">
        <v>27</v>
      </c>
      <c r="B15" s="14">
        <v>0</v>
      </c>
      <c r="C15" s="15">
        <f>30000-2812.5</f>
        <v>27187.5</v>
      </c>
      <c r="D15" s="10">
        <f t="shared" si="1"/>
        <v>-27187.5</v>
      </c>
      <c r="E15" s="24" t="s">
        <v>28</v>
      </c>
      <c r="F15" s="26">
        <f>+F16+F19</f>
        <v>300000</v>
      </c>
      <c r="G15" s="27">
        <f>+G16+G22</f>
        <v>201593.75</v>
      </c>
      <c r="H15" s="10">
        <f t="shared" si="0"/>
        <v>-98406.25</v>
      </c>
    </row>
    <row r="16" spans="1:8" ht="16.8" customHeight="1" x14ac:dyDescent="0.3">
      <c r="A16" s="23" t="s">
        <v>29</v>
      </c>
      <c r="B16" s="20">
        <v>0</v>
      </c>
      <c r="C16" s="21">
        <v>0</v>
      </c>
      <c r="D16" s="10">
        <f t="shared" si="1"/>
        <v>0</v>
      </c>
      <c r="E16" s="17" t="s">
        <v>30</v>
      </c>
      <c r="F16" s="18">
        <v>200000</v>
      </c>
      <c r="G16" s="15">
        <v>200000</v>
      </c>
      <c r="H16" s="10">
        <f t="shared" si="0"/>
        <v>0</v>
      </c>
    </row>
    <row r="17" spans="1:8" ht="16.8" customHeight="1" x14ac:dyDescent="0.3">
      <c r="A17" s="7" t="s">
        <v>31</v>
      </c>
      <c r="B17" s="8">
        <f>B18+B21+B25+B26</f>
        <v>775000</v>
      </c>
      <c r="C17" s="9">
        <f>C18+C21+C25+C26</f>
        <v>1934700</v>
      </c>
      <c r="D17" s="10">
        <f t="shared" si="1"/>
        <v>-1159700</v>
      </c>
      <c r="E17" s="17" t="s">
        <v>24</v>
      </c>
      <c r="F17" s="18">
        <v>0</v>
      </c>
      <c r="G17" s="15">
        <v>0</v>
      </c>
      <c r="H17" s="10">
        <f t="shared" si="0"/>
        <v>0</v>
      </c>
    </row>
    <row r="18" spans="1:8" ht="16.8" customHeight="1" x14ac:dyDescent="0.3">
      <c r="A18" s="23" t="s">
        <v>32</v>
      </c>
      <c r="B18" s="28">
        <f>SUM(B19:B20)</f>
        <v>300000</v>
      </c>
      <c r="C18" s="29">
        <f>SUM(C19:C20)</f>
        <v>90000</v>
      </c>
      <c r="D18" s="10">
        <f t="shared" si="1"/>
        <v>210000</v>
      </c>
      <c r="E18" s="17" t="s">
        <v>26</v>
      </c>
      <c r="F18" s="18">
        <v>200000</v>
      </c>
      <c r="G18" s="15">
        <v>200000</v>
      </c>
      <c r="H18" s="10">
        <f t="shared" si="0"/>
        <v>0</v>
      </c>
    </row>
    <row r="19" spans="1:8" ht="16.8" customHeight="1" x14ac:dyDescent="0.3">
      <c r="A19" s="22" t="s">
        <v>33</v>
      </c>
      <c r="B19" s="14">
        <v>100000</v>
      </c>
      <c r="C19" s="15">
        <v>90000</v>
      </c>
      <c r="D19" s="10">
        <f t="shared" si="1"/>
        <v>10000</v>
      </c>
      <c r="E19" s="17" t="s">
        <v>34</v>
      </c>
      <c r="F19" s="18">
        <v>100000</v>
      </c>
      <c r="G19" s="15">
        <v>0</v>
      </c>
      <c r="H19" s="10">
        <f t="shared" si="0"/>
        <v>-100000</v>
      </c>
    </row>
    <row r="20" spans="1:8" ht="16.8" customHeight="1" x14ac:dyDescent="0.3">
      <c r="A20" s="22" t="s">
        <v>35</v>
      </c>
      <c r="B20" s="14">
        <v>200000</v>
      </c>
      <c r="C20" s="15">
        <v>0</v>
      </c>
      <c r="D20" s="10">
        <f t="shared" si="1"/>
        <v>200000</v>
      </c>
      <c r="E20" s="17" t="s">
        <v>24</v>
      </c>
      <c r="F20" s="18">
        <v>100000</v>
      </c>
      <c r="G20" s="15">
        <v>0</v>
      </c>
      <c r="H20" s="10">
        <f t="shared" si="0"/>
        <v>-100000</v>
      </c>
    </row>
    <row r="21" spans="1:8" ht="16.8" customHeight="1" x14ac:dyDescent="0.3">
      <c r="A21" s="23" t="s">
        <v>36</v>
      </c>
      <c r="B21" s="28">
        <f>+B22</f>
        <v>180000</v>
      </c>
      <c r="C21" s="29">
        <f>+C22</f>
        <v>1006000</v>
      </c>
      <c r="D21" s="10">
        <f t="shared" si="1"/>
        <v>-826000</v>
      </c>
      <c r="E21" s="17" t="s">
        <v>26</v>
      </c>
      <c r="F21" s="18">
        <v>0</v>
      </c>
      <c r="G21" s="15">
        <v>0</v>
      </c>
      <c r="H21" s="10">
        <f t="shared" si="0"/>
        <v>0</v>
      </c>
    </row>
    <row r="22" spans="1:8" ht="16.8" customHeight="1" x14ac:dyDescent="0.3">
      <c r="A22" s="22" t="s">
        <v>37</v>
      </c>
      <c r="B22" s="14">
        <f>+B23+B24</f>
        <v>180000</v>
      </c>
      <c r="C22" s="15">
        <f>+C23+C24</f>
        <v>1006000</v>
      </c>
      <c r="D22" s="10">
        <f t="shared" si="1"/>
        <v>-826000</v>
      </c>
      <c r="E22" s="17" t="s">
        <v>38</v>
      </c>
      <c r="F22" s="18">
        <f>F23+F24</f>
        <v>0</v>
      </c>
      <c r="G22" s="15">
        <f>G23+G24</f>
        <v>1593.75</v>
      </c>
      <c r="H22" s="10">
        <f t="shared" si="0"/>
        <v>1593.75</v>
      </c>
    </row>
    <row r="23" spans="1:8" ht="16.8" customHeight="1" x14ac:dyDescent="0.3">
      <c r="A23" s="22" t="s">
        <v>39</v>
      </c>
      <c r="B23" s="14">
        <v>150000</v>
      </c>
      <c r="C23" s="15">
        <v>976000</v>
      </c>
      <c r="D23" s="10">
        <f t="shared" si="1"/>
        <v>-826000</v>
      </c>
      <c r="E23" s="17" t="s">
        <v>24</v>
      </c>
      <c r="F23" s="18">
        <v>0</v>
      </c>
      <c r="G23" s="15">
        <v>1593.75</v>
      </c>
      <c r="H23" s="10">
        <f t="shared" si="0"/>
        <v>1593.75</v>
      </c>
    </row>
    <row r="24" spans="1:8" ht="16.8" customHeight="1" x14ac:dyDescent="0.3">
      <c r="A24" s="22" t="s">
        <v>40</v>
      </c>
      <c r="B24" s="14">
        <v>30000</v>
      </c>
      <c r="C24" s="15">
        <v>30000</v>
      </c>
      <c r="D24" s="10">
        <f t="shared" si="1"/>
        <v>0</v>
      </c>
      <c r="E24" s="17" t="s">
        <v>26</v>
      </c>
      <c r="F24" s="18">
        <v>0</v>
      </c>
      <c r="G24" s="15">
        <v>0</v>
      </c>
      <c r="H24" s="10">
        <f t="shared" si="0"/>
        <v>0</v>
      </c>
    </row>
    <row r="25" spans="1:8" ht="24.6" customHeight="1" x14ac:dyDescent="0.3">
      <c r="A25" s="23" t="s">
        <v>41</v>
      </c>
      <c r="B25" s="28">
        <v>0</v>
      </c>
      <c r="C25" s="29">
        <v>0</v>
      </c>
      <c r="D25" s="10">
        <f t="shared" si="1"/>
        <v>0</v>
      </c>
      <c r="E25" s="30" t="s">
        <v>42</v>
      </c>
      <c r="F25" s="31">
        <v>0</v>
      </c>
      <c r="G25" s="24">
        <v>0</v>
      </c>
      <c r="H25" s="10">
        <f t="shared" si="0"/>
        <v>0</v>
      </c>
    </row>
    <row r="26" spans="1:8" ht="16.8" customHeight="1" x14ac:dyDescent="0.3">
      <c r="A26" s="23" t="s">
        <v>43</v>
      </c>
      <c r="B26" s="28">
        <f>+B27</f>
        <v>295000</v>
      </c>
      <c r="C26" s="29">
        <f>+C27</f>
        <v>838700</v>
      </c>
      <c r="D26" s="10">
        <f>+B26-C26</f>
        <v>-543700</v>
      </c>
      <c r="E26" s="32"/>
      <c r="F26" s="18"/>
      <c r="G26" s="15"/>
      <c r="H26" s="10">
        <f t="shared" si="0"/>
        <v>0</v>
      </c>
    </row>
    <row r="27" spans="1:8" ht="16.8" customHeight="1" x14ac:dyDescent="0.3">
      <c r="A27" s="22" t="s">
        <v>44</v>
      </c>
      <c r="B27" s="15">
        <v>295000</v>
      </c>
      <c r="C27" s="25">
        <f>295000+240000+3904000+150000-1520-200-3660-6100-100000-36600-431420-2440000-215264-128800-386736</f>
        <v>838700</v>
      </c>
      <c r="D27" s="10">
        <f t="shared" si="1"/>
        <v>-543700</v>
      </c>
      <c r="E27" s="32"/>
      <c r="F27" s="18"/>
      <c r="G27" s="15"/>
      <c r="H27" s="10">
        <f t="shared" si="0"/>
        <v>0</v>
      </c>
    </row>
    <row r="28" spans="1:8" ht="16.8" customHeight="1" x14ac:dyDescent="0.3">
      <c r="A28" s="7" t="s">
        <v>45</v>
      </c>
      <c r="B28" s="8">
        <v>0</v>
      </c>
      <c r="C28" s="9">
        <v>0</v>
      </c>
      <c r="D28" s="10">
        <f t="shared" si="1"/>
        <v>0</v>
      </c>
      <c r="E28" s="17"/>
      <c r="F28" s="18"/>
      <c r="G28" s="15"/>
      <c r="H28" s="10">
        <f t="shared" si="0"/>
        <v>0</v>
      </c>
    </row>
    <row r="29" spans="1:8" ht="16.8" customHeight="1" x14ac:dyDescent="0.3">
      <c r="A29" s="22"/>
      <c r="B29" s="14"/>
      <c r="C29" s="15"/>
      <c r="D29" s="10">
        <f t="shared" si="1"/>
        <v>0</v>
      </c>
      <c r="E29" s="17"/>
      <c r="F29" s="18"/>
      <c r="G29" s="15"/>
      <c r="H29" s="10">
        <f t="shared" si="0"/>
        <v>0</v>
      </c>
    </row>
    <row r="30" spans="1:8" ht="16.8" customHeight="1" thickBot="1" x14ac:dyDescent="0.35">
      <c r="A30" s="33" t="s">
        <v>46</v>
      </c>
      <c r="B30" s="34">
        <f>B3+B6+B17+B28</f>
        <v>1800000</v>
      </c>
      <c r="C30" s="35">
        <f>C3+C6+C17+C28</f>
        <v>2887413.54</v>
      </c>
      <c r="D30" s="10">
        <f t="shared" si="1"/>
        <v>-1087413.54</v>
      </c>
      <c r="E30" s="36" t="s">
        <v>47</v>
      </c>
      <c r="F30" s="37">
        <f>F3+F11+F12+F15+F25</f>
        <v>1800000</v>
      </c>
      <c r="G30" s="35">
        <f>G3+G11+G12+G15+G25+0.5</f>
        <v>2887413.98</v>
      </c>
      <c r="H30" s="10">
        <f t="shared" si="0"/>
        <v>1087413.98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536F-BC83-4D0A-9242-61668492CF0A}">
  <dimension ref="A1:B26"/>
  <sheetViews>
    <sheetView tabSelected="1" workbookViewId="0">
      <selection activeCell="A11" sqref="A11"/>
    </sheetView>
  </sheetViews>
  <sheetFormatPr defaultRowHeight="14.4" x14ac:dyDescent="0.3"/>
  <cols>
    <col min="1" max="1" width="72.88671875" customWidth="1"/>
    <col min="2" max="2" width="29.6640625" customWidth="1"/>
  </cols>
  <sheetData>
    <row r="1" spans="1:2" ht="15.6" x14ac:dyDescent="0.3">
      <c r="A1" s="38" t="s">
        <v>48</v>
      </c>
      <c r="B1" s="39"/>
    </row>
    <row r="2" spans="1:2" ht="15.6" x14ac:dyDescent="0.3">
      <c r="A2" s="40"/>
      <c r="B2" s="41" t="s">
        <v>49</v>
      </c>
    </row>
    <row r="3" spans="1:2" x14ac:dyDescent="0.3">
      <c r="A3" s="42" t="s">
        <v>50</v>
      </c>
      <c r="B3" s="43">
        <f>SUM(B4:B5)</f>
        <v>3800000</v>
      </c>
    </row>
    <row r="4" spans="1:2" x14ac:dyDescent="0.3">
      <c r="A4" s="44" t="s">
        <v>51</v>
      </c>
      <c r="B4" s="45">
        <v>4000000</v>
      </c>
    </row>
    <row r="5" spans="1:2" x14ac:dyDescent="0.3">
      <c r="A5" s="44" t="s">
        <v>52</v>
      </c>
      <c r="B5" s="45">
        <v>-200000</v>
      </c>
    </row>
    <row r="6" spans="1:2" x14ac:dyDescent="0.3">
      <c r="A6" s="42" t="s">
        <v>53</v>
      </c>
      <c r="B6" s="43">
        <f>B7+B8+B9+B10+B16++B21</f>
        <v>2900642.94</v>
      </c>
    </row>
    <row r="7" spans="1:2" x14ac:dyDescent="0.3">
      <c r="A7" s="44" t="s">
        <v>54</v>
      </c>
      <c r="B7" s="45">
        <v>2000000</v>
      </c>
    </row>
    <row r="8" spans="1:2" x14ac:dyDescent="0.3">
      <c r="A8" s="44" t="s">
        <v>55</v>
      </c>
      <c r="B8" s="45">
        <v>3000</v>
      </c>
    </row>
    <row r="9" spans="1:2" x14ac:dyDescent="0.3">
      <c r="A9" s="44" t="s">
        <v>56</v>
      </c>
      <c r="B9" s="45">
        <v>0</v>
      </c>
    </row>
    <row r="10" spans="1:2" x14ac:dyDescent="0.3">
      <c r="A10" s="44" t="s">
        <v>57</v>
      </c>
      <c r="B10" s="45">
        <f>+B11+B12+B13</f>
        <v>778856.48</v>
      </c>
    </row>
    <row r="11" spans="1:2" x14ac:dyDescent="0.3">
      <c r="A11" s="44" t="s">
        <v>58</v>
      </c>
      <c r="B11" s="45">
        <v>560000</v>
      </c>
    </row>
    <row r="12" spans="1:2" x14ac:dyDescent="0.3">
      <c r="A12" s="44" t="s">
        <v>59</v>
      </c>
      <c r="B12" s="45">
        <v>168000</v>
      </c>
    </row>
    <row r="13" spans="1:2" x14ac:dyDescent="0.3">
      <c r="A13" s="44" t="s">
        <v>60</v>
      </c>
      <c r="B13" s="45">
        <v>50856.480000000003</v>
      </c>
    </row>
    <row r="14" spans="1:2" x14ac:dyDescent="0.3">
      <c r="A14" s="44" t="s">
        <v>61</v>
      </c>
      <c r="B14" s="45">
        <v>0</v>
      </c>
    </row>
    <row r="15" spans="1:2" x14ac:dyDescent="0.3">
      <c r="A15" s="44" t="s">
        <v>62</v>
      </c>
      <c r="B15" s="45">
        <v>0</v>
      </c>
    </row>
    <row r="16" spans="1:2" x14ac:dyDescent="0.3">
      <c r="A16" s="44" t="s">
        <v>63</v>
      </c>
      <c r="B16" s="45">
        <f>B17+B18+B19+B20</f>
        <v>108786.46</v>
      </c>
    </row>
    <row r="17" spans="1:2" x14ac:dyDescent="0.3">
      <c r="A17" s="44" t="s">
        <v>64</v>
      </c>
      <c r="B17" s="45">
        <f>140.63+833.33</f>
        <v>973.96</v>
      </c>
    </row>
    <row r="18" spans="1:2" x14ac:dyDescent="0.3">
      <c r="A18" s="44" t="s">
        <v>65</v>
      </c>
      <c r="B18" s="45">
        <f>40000+20000+25000+20000+2812.5</f>
        <v>107812.5</v>
      </c>
    </row>
    <row r="19" spans="1:2" x14ac:dyDescent="0.3">
      <c r="A19" s="44" t="s">
        <v>66</v>
      </c>
      <c r="B19" s="45">
        <v>0</v>
      </c>
    </row>
    <row r="20" spans="1:2" x14ac:dyDescent="0.3">
      <c r="A20" s="44" t="s">
        <v>67</v>
      </c>
      <c r="B20" s="45">
        <v>0</v>
      </c>
    </row>
    <row r="21" spans="1:2" x14ac:dyDescent="0.3">
      <c r="A21" s="44" t="s">
        <v>68</v>
      </c>
      <c r="B21" s="45">
        <v>10000</v>
      </c>
    </row>
    <row r="22" spans="1:2" x14ac:dyDescent="0.3">
      <c r="A22" s="46" t="s">
        <v>69</v>
      </c>
      <c r="B22" s="47">
        <f>B3-B6</f>
        <v>899357.06</v>
      </c>
    </row>
    <row r="23" spans="1:2" x14ac:dyDescent="0.3">
      <c r="A23" s="42" t="s">
        <v>70</v>
      </c>
      <c r="B23" s="43">
        <v>0</v>
      </c>
    </row>
    <row r="24" spans="1:2" x14ac:dyDescent="0.3">
      <c r="A24" s="42" t="s">
        <v>71</v>
      </c>
      <c r="B24" s="43">
        <v>0</v>
      </c>
    </row>
    <row r="25" spans="1:2" x14ac:dyDescent="0.3">
      <c r="A25" s="46" t="s">
        <v>72</v>
      </c>
      <c r="B25" s="47">
        <f>+B22</f>
        <v>899357.06</v>
      </c>
    </row>
    <row r="26" spans="1:2" ht="15" thickBot="1" x14ac:dyDescent="0.35">
      <c r="A26" s="48" t="s">
        <v>73</v>
      </c>
      <c r="B26" s="49">
        <f>+B22</f>
        <v>899357.06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SP</vt:lpstr>
      <vt:lpstr>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PONTIVI ELISA</dc:creator>
  <cp:lastModifiedBy>PONTIVI ELISA</cp:lastModifiedBy>
  <dcterms:created xsi:type="dcterms:W3CDTF">2025-12-31T15:32:32Z</dcterms:created>
  <dcterms:modified xsi:type="dcterms:W3CDTF">2025-12-31T15:36:22Z</dcterms:modified>
</cp:coreProperties>
</file>